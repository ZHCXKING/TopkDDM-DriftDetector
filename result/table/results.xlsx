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rojection\Car_recommend\result\table\"/>
    </mc:Choice>
  </mc:AlternateContent>
  <xr:revisionPtr revIDLastSave="0" documentId="13_ncr:1_{EED1694D-6FA5-4C29-9307-875DA17582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oise" sheetId="1" r:id="rId1"/>
    <sheet name="sav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9" i="2" l="1"/>
  <c r="X9" i="2"/>
  <c r="R9" i="2"/>
  <c r="S9" i="2" s="1"/>
  <c r="L9" i="2"/>
  <c r="M9" i="2" s="1"/>
  <c r="F9" i="2"/>
  <c r="G9" i="2" s="1"/>
  <c r="X8" i="2"/>
  <c r="Y8" i="2" s="1"/>
  <c r="R8" i="2"/>
  <c r="S8" i="2" s="1"/>
  <c r="L8" i="2"/>
  <c r="M8" i="2" s="1"/>
  <c r="F8" i="2"/>
  <c r="G8" i="2" s="1"/>
  <c r="B18" i="2" s="1"/>
  <c r="X7" i="2"/>
  <c r="Y7" i="2" s="1"/>
  <c r="R7" i="2"/>
  <c r="S7" i="2" s="1"/>
  <c r="L7" i="2"/>
  <c r="M7" i="2" s="1"/>
  <c r="F7" i="2"/>
  <c r="G7" i="2" s="1"/>
  <c r="B17" i="2" s="1"/>
  <c r="X6" i="2"/>
  <c r="Y6" i="2" s="1"/>
  <c r="R6" i="2"/>
  <c r="S6" i="2" s="1"/>
  <c r="L6" i="2"/>
  <c r="M6" i="2" s="1"/>
  <c r="F6" i="2"/>
  <c r="G6" i="2" s="1"/>
  <c r="X5" i="2"/>
  <c r="Y5" i="2" s="1"/>
  <c r="R5" i="2"/>
  <c r="S5" i="2" s="1"/>
  <c r="L5" i="2"/>
  <c r="M5" i="2" s="1"/>
  <c r="F5" i="2"/>
  <c r="G5" i="2" s="1"/>
  <c r="X4" i="2"/>
  <c r="Y4" i="2" s="1"/>
  <c r="R4" i="2"/>
  <c r="S4" i="2" s="1"/>
  <c r="L4" i="2"/>
  <c r="M4" i="2" s="1"/>
  <c r="F4" i="2"/>
  <c r="G4" i="2" s="1"/>
  <c r="B14" i="2" s="1"/>
  <c r="X3" i="2"/>
  <c r="Y3" i="2" s="1"/>
  <c r="R3" i="2"/>
  <c r="S3" i="2" s="1"/>
  <c r="L3" i="2"/>
  <c r="M3" i="2" s="1"/>
  <c r="F3" i="2"/>
  <c r="G3" i="2" s="1"/>
  <c r="B13" i="2" s="1"/>
  <c r="X2" i="2"/>
  <c r="Y2" i="2" s="1"/>
  <c r="R2" i="2"/>
  <c r="S2" i="2" s="1"/>
  <c r="L2" i="2"/>
  <c r="M2" i="2" s="1"/>
  <c r="F2" i="2"/>
  <c r="G2" i="2" s="1"/>
  <c r="B12" i="2" s="1"/>
  <c r="B16" i="2" l="1"/>
  <c r="B15" i="2"/>
  <c r="B19" i="2"/>
</calcChain>
</file>

<file path=xl/sharedStrings.xml><?xml version="1.0" encoding="utf-8"?>
<sst xmlns="http://schemas.openxmlformats.org/spreadsheetml/2006/main" count="94" uniqueCount="20">
  <si>
    <t>Topk-DDM</t>
  </si>
  <si>
    <t>DDM</t>
  </si>
  <si>
    <t>MWDDM-H</t>
  </si>
  <si>
    <t>MWDDM-M</t>
  </si>
  <si>
    <t>VFDDM-H</t>
  </si>
  <si>
    <t>VFDDM-M</t>
  </si>
  <si>
    <t>VFDDM-K</t>
  </si>
  <si>
    <t>EDDM</t>
  </si>
  <si>
    <t>false</t>
  </si>
  <si>
    <t>detected</t>
  </si>
  <si>
    <t>missed</t>
  </si>
  <si>
    <t>delay</t>
  </si>
  <si>
    <t>precision</t>
  </si>
  <si>
    <t>recall</t>
  </si>
  <si>
    <t>f1</t>
  </si>
  <si>
    <t>width=1000</t>
  </si>
  <si>
    <t>noise=0.05</t>
  </si>
  <si>
    <t>k=10</t>
  </si>
  <si>
    <t>noise=0.1</t>
  </si>
  <si>
    <t>width=2000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</si>
</sst>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sz val="11"/>
      <name val="等线"/>
      <charset val="134"/>
    </font>
    <font>
      <b/>
      <sz val="11"/>
      <name val="等线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/>
    <xf numFmtId="0" fontId="3" fillId="0" borderId="3" xfId="0" applyFont="1" applyBorder="1" applyAlignment="1">
      <alignment horizontal="center" vertical="top"/>
    </xf>
    <xf numFmtId="0" fontId="0" fillId="0" borderId="2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7"/>
  <sheetViews>
    <sheetView tabSelected="1" topLeftCell="AE1" workbookViewId="0">
      <selection activeCell="AV11" sqref="AV11"/>
    </sheetView>
  </sheetViews>
  <sheetFormatPr defaultRowHeight="14.25" x14ac:dyDescent="0.2"/>
  <sheetData>
    <row r="1" spans="1:59" x14ac:dyDescent="0.2">
      <c r="C1" s="3"/>
      <c r="D1" s="4" t="s">
        <v>0</v>
      </c>
      <c r="E1" s="4"/>
      <c r="F1" s="4"/>
      <c r="G1" s="4"/>
      <c r="H1" s="4"/>
      <c r="I1" s="4"/>
      <c r="J1" s="4"/>
      <c r="K1" s="4" t="s">
        <v>1</v>
      </c>
      <c r="L1" s="4"/>
      <c r="M1" s="4"/>
      <c r="N1" s="4"/>
      <c r="O1" s="4"/>
      <c r="P1" s="4"/>
      <c r="Q1" s="4"/>
      <c r="R1" s="4" t="s">
        <v>2</v>
      </c>
      <c r="S1" s="4"/>
      <c r="T1" s="4"/>
      <c r="U1" s="4"/>
      <c r="V1" s="4"/>
      <c r="W1" s="4"/>
      <c r="X1" s="4"/>
      <c r="Y1" s="4" t="s">
        <v>3</v>
      </c>
      <c r="Z1" s="4"/>
      <c r="AA1" s="4"/>
      <c r="AB1" s="4"/>
      <c r="AC1" s="4"/>
      <c r="AD1" s="4"/>
      <c r="AE1" s="4"/>
      <c r="AF1" s="4" t="s">
        <v>4</v>
      </c>
      <c r="AG1" s="4"/>
      <c r="AH1" s="4"/>
      <c r="AI1" s="4"/>
      <c r="AJ1" s="4"/>
      <c r="AK1" s="4"/>
      <c r="AL1" s="4"/>
      <c r="AM1" s="4" t="s">
        <v>5</v>
      </c>
      <c r="AN1" s="4"/>
      <c r="AO1" s="4"/>
      <c r="AP1" s="4"/>
      <c r="AQ1" s="4"/>
      <c r="AR1" s="4"/>
      <c r="AS1" s="4"/>
      <c r="AT1" s="4" t="s">
        <v>6</v>
      </c>
      <c r="AU1" s="4"/>
      <c r="AV1" s="4"/>
      <c r="AW1" s="4"/>
      <c r="AX1" s="4"/>
      <c r="AY1" s="4"/>
      <c r="AZ1" s="4"/>
      <c r="BA1" s="4" t="s">
        <v>7</v>
      </c>
      <c r="BB1" s="4"/>
      <c r="BC1" s="4"/>
      <c r="BD1" s="4"/>
      <c r="BE1" s="4"/>
      <c r="BF1" s="4"/>
      <c r="BG1" s="4"/>
    </row>
    <row r="2" spans="1:59" x14ac:dyDescent="0.2">
      <c r="C2" s="3"/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J2" s="3" t="s">
        <v>14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12</v>
      </c>
      <c r="P2" s="3" t="s">
        <v>13</v>
      </c>
      <c r="Q2" s="3" t="s">
        <v>14</v>
      </c>
      <c r="R2" s="3" t="s">
        <v>8</v>
      </c>
      <c r="S2" s="3" t="s">
        <v>9</v>
      </c>
      <c r="T2" s="3" t="s">
        <v>10</v>
      </c>
      <c r="U2" s="3" t="s">
        <v>11</v>
      </c>
      <c r="V2" s="3" t="s">
        <v>12</v>
      </c>
      <c r="W2" s="3" t="s">
        <v>13</v>
      </c>
      <c r="X2" s="3" t="s">
        <v>14</v>
      </c>
      <c r="Y2" s="3" t="s">
        <v>8</v>
      </c>
      <c r="Z2" s="3" t="s">
        <v>9</v>
      </c>
      <c r="AA2" s="3" t="s">
        <v>10</v>
      </c>
      <c r="AB2" s="3" t="s">
        <v>11</v>
      </c>
      <c r="AC2" s="3" t="s">
        <v>12</v>
      </c>
      <c r="AD2" s="3" t="s">
        <v>13</v>
      </c>
      <c r="AE2" s="3" t="s">
        <v>14</v>
      </c>
      <c r="AF2" s="3" t="s">
        <v>8</v>
      </c>
      <c r="AG2" s="3" t="s">
        <v>9</v>
      </c>
      <c r="AH2" s="3" t="s">
        <v>10</v>
      </c>
      <c r="AI2" s="3" t="s">
        <v>11</v>
      </c>
      <c r="AJ2" s="3" t="s">
        <v>12</v>
      </c>
      <c r="AK2" s="3" t="s">
        <v>13</v>
      </c>
      <c r="AL2" s="3" t="s">
        <v>14</v>
      </c>
      <c r="AM2" s="3" t="s">
        <v>8</v>
      </c>
      <c r="AN2" s="3" t="s">
        <v>9</v>
      </c>
      <c r="AO2" s="3" t="s">
        <v>10</v>
      </c>
      <c r="AP2" s="3" t="s">
        <v>11</v>
      </c>
      <c r="AQ2" s="3" t="s">
        <v>12</v>
      </c>
      <c r="AR2" s="3" t="s">
        <v>13</v>
      </c>
      <c r="AS2" s="3" t="s">
        <v>14</v>
      </c>
      <c r="AT2" s="3" t="s">
        <v>8</v>
      </c>
      <c r="AU2" s="3" t="s">
        <v>9</v>
      </c>
      <c r="AV2" s="3" t="s">
        <v>10</v>
      </c>
      <c r="AW2" s="3" t="s">
        <v>11</v>
      </c>
      <c r="AX2" s="3" t="s">
        <v>12</v>
      </c>
      <c r="AY2" s="3" t="s">
        <v>13</v>
      </c>
      <c r="AZ2" s="3" t="s">
        <v>14</v>
      </c>
      <c r="BA2" s="3" t="s">
        <v>8</v>
      </c>
      <c r="BB2" s="3" t="s">
        <v>9</v>
      </c>
      <c r="BC2" s="3" t="s">
        <v>10</v>
      </c>
      <c r="BD2" s="3" t="s">
        <v>11</v>
      </c>
      <c r="BE2" s="3" t="s">
        <v>12</v>
      </c>
      <c r="BF2" s="3" t="s">
        <v>13</v>
      </c>
      <c r="BG2" s="3" t="s">
        <v>14</v>
      </c>
    </row>
    <row r="4" spans="1:59" x14ac:dyDescent="0.2">
      <c r="A4" s="4" t="s">
        <v>15</v>
      </c>
      <c r="B4" s="3" t="s">
        <v>16</v>
      </c>
      <c r="C4" s="3" t="s">
        <v>17</v>
      </c>
      <c r="D4">
        <v>23</v>
      </c>
      <c r="E4">
        <v>69</v>
      </c>
      <c r="F4">
        <v>8</v>
      </c>
      <c r="G4">
        <v>503.07246376811588</v>
      </c>
      <c r="H4">
        <v>0.75</v>
      </c>
      <c r="I4">
        <v>0.89610389610389607</v>
      </c>
      <c r="J4">
        <v>0.81656804733727806</v>
      </c>
      <c r="K4">
        <v>44</v>
      </c>
      <c r="L4">
        <v>55</v>
      </c>
      <c r="M4">
        <v>1</v>
      </c>
      <c r="N4">
        <v>386.10909090909092</v>
      </c>
      <c r="O4">
        <v>0.55555555555555558</v>
      </c>
      <c r="P4">
        <v>0.9821428571428571</v>
      </c>
      <c r="Q4">
        <v>0.70967741935483875</v>
      </c>
      <c r="R4">
        <v>82</v>
      </c>
      <c r="S4">
        <v>14</v>
      </c>
      <c r="T4">
        <v>4</v>
      </c>
      <c r="U4">
        <v>443.64285714285722</v>
      </c>
      <c r="V4">
        <v>0.14583333333333329</v>
      </c>
      <c r="W4">
        <v>0.77777777777777779</v>
      </c>
      <c r="X4">
        <v>0.24561403508771931</v>
      </c>
      <c r="Y4">
        <v>43</v>
      </c>
      <c r="Z4">
        <v>37</v>
      </c>
      <c r="AA4">
        <v>20</v>
      </c>
      <c r="AB4">
        <v>594.94594594594594</v>
      </c>
      <c r="AC4">
        <v>0.46250000000000002</v>
      </c>
      <c r="AD4">
        <v>0.64912280701754388</v>
      </c>
      <c r="AE4">
        <v>0.54014598540145986</v>
      </c>
      <c r="AF4">
        <v>86</v>
      </c>
      <c r="AG4">
        <v>13</v>
      </c>
      <c r="AH4">
        <v>1</v>
      </c>
      <c r="AI4">
        <v>385.84615384615392</v>
      </c>
      <c r="AJ4">
        <v>0.1313131313131313</v>
      </c>
      <c r="AK4">
        <v>0.9285714285714286</v>
      </c>
      <c r="AL4">
        <v>0.23008849557522129</v>
      </c>
      <c r="AM4">
        <v>0</v>
      </c>
      <c r="AN4">
        <v>3</v>
      </c>
      <c r="AO4">
        <v>97</v>
      </c>
      <c r="AP4">
        <v>849.33333333333337</v>
      </c>
      <c r="AQ4">
        <v>1</v>
      </c>
      <c r="AR4">
        <v>0.03</v>
      </c>
      <c r="AS4">
        <v>5.8252427184466007E-2</v>
      </c>
      <c r="AT4">
        <v>99</v>
      </c>
      <c r="AU4">
        <v>1</v>
      </c>
      <c r="AV4">
        <v>0</v>
      </c>
      <c r="AW4">
        <v>354</v>
      </c>
      <c r="AX4">
        <v>0.01</v>
      </c>
      <c r="AY4">
        <v>1</v>
      </c>
      <c r="AZ4">
        <v>1.9801980198019799E-2</v>
      </c>
      <c r="BA4">
        <v>99</v>
      </c>
      <c r="BB4">
        <v>1</v>
      </c>
      <c r="BC4">
        <v>0</v>
      </c>
      <c r="BD4">
        <v>357</v>
      </c>
      <c r="BE4">
        <v>0.01</v>
      </c>
      <c r="BF4">
        <v>1</v>
      </c>
      <c r="BG4">
        <v>1.9801980198019799E-2</v>
      </c>
    </row>
    <row r="5" spans="1:59" x14ac:dyDescent="0.2">
      <c r="A5" s="4"/>
      <c r="B5" s="3" t="s">
        <v>18</v>
      </c>
      <c r="C5" s="3" t="s">
        <v>17</v>
      </c>
      <c r="D5">
        <v>20</v>
      </c>
      <c r="E5">
        <v>74</v>
      </c>
      <c r="F5">
        <v>6</v>
      </c>
      <c r="G5">
        <v>493.77027027027032</v>
      </c>
      <c r="H5">
        <v>0.78723404255319152</v>
      </c>
      <c r="I5">
        <v>0.92500000000000004</v>
      </c>
      <c r="J5">
        <v>0.85057471264367812</v>
      </c>
      <c r="K5">
        <v>37</v>
      </c>
      <c r="L5">
        <v>61</v>
      </c>
      <c r="M5">
        <v>2</v>
      </c>
      <c r="N5">
        <v>465.96721311475409</v>
      </c>
      <c r="O5">
        <v>0.62244897959183676</v>
      </c>
      <c r="P5">
        <v>0.96825396825396826</v>
      </c>
      <c r="Q5">
        <v>0.7577639751552796</v>
      </c>
      <c r="R5">
        <v>95</v>
      </c>
      <c r="S5">
        <v>4</v>
      </c>
      <c r="T5">
        <v>1</v>
      </c>
      <c r="U5">
        <v>257.25</v>
      </c>
      <c r="V5">
        <v>4.0404040404040407E-2</v>
      </c>
      <c r="W5">
        <v>0.8</v>
      </c>
      <c r="X5">
        <v>7.6923076923076927E-2</v>
      </c>
      <c r="Y5">
        <v>77</v>
      </c>
      <c r="Z5">
        <v>19</v>
      </c>
      <c r="AA5">
        <v>4</v>
      </c>
      <c r="AB5">
        <v>513.0526315789474</v>
      </c>
      <c r="AC5">
        <v>0.19791666666666671</v>
      </c>
      <c r="AD5">
        <v>0.82608695652173914</v>
      </c>
      <c r="AE5">
        <v>0.31932773109243701</v>
      </c>
      <c r="AF5">
        <v>96</v>
      </c>
      <c r="AG5">
        <v>3</v>
      </c>
      <c r="AH5">
        <v>1</v>
      </c>
      <c r="AI5">
        <v>319.33333333333331</v>
      </c>
      <c r="AJ5">
        <v>3.03030303030303E-2</v>
      </c>
      <c r="AK5">
        <v>0.75</v>
      </c>
      <c r="AL5">
        <v>5.8252427184466021E-2</v>
      </c>
      <c r="AM5">
        <v>0</v>
      </c>
      <c r="AN5">
        <v>5</v>
      </c>
      <c r="AO5">
        <v>95</v>
      </c>
      <c r="AP5">
        <v>758.4</v>
      </c>
      <c r="AQ5">
        <v>1</v>
      </c>
      <c r="AR5">
        <v>0.05</v>
      </c>
      <c r="AS5">
        <v>9.5238095238095233E-2</v>
      </c>
      <c r="AT5">
        <v>96</v>
      </c>
      <c r="AU5">
        <v>3</v>
      </c>
      <c r="AV5">
        <v>1</v>
      </c>
      <c r="AW5">
        <v>540</v>
      </c>
      <c r="AX5">
        <v>3.03030303030303E-2</v>
      </c>
      <c r="AY5">
        <v>0.75</v>
      </c>
      <c r="AZ5">
        <v>5.8252427184466021E-2</v>
      </c>
      <c r="BA5">
        <v>98</v>
      </c>
      <c r="BB5">
        <v>2</v>
      </c>
      <c r="BC5">
        <v>0</v>
      </c>
      <c r="BD5">
        <v>296.5</v>
      </c>
      <c r="BE5">
        <v>0.02</v>
      </c>
      <c r="BF5">
        <v>1</v>
      </c>
      <c r="BG5">
        <v>3.9215686274509803E-2</v>
      </c>
    </row>
    <row r="6" spans="1:59" x14ac:dyDescent="0.2">
      <c r="A6" s="4" t="s">
        <v>19</v>
      </c>
      <c r="B6" s="3" t="s">
        <v>16</v>
      </c>
      <c r="C6" s="3" t="s">
        <v>17</v>
      </c>
      <c r="D6">
        <v>35</v>
      </c>
      <c r="E6">
        <v>65</v>
      </c>
      <c r="F6">
        <v>0</v>
      </c>
      <c r="G6">
        <v>748.01538461538462</v>
      </c>
      <c r="H6">
        <v>0.65</v>
      </c>
      <c r="I6">
        <v>1</v>
      </c>
      <c r="J6">
        <v>0.78787878787878796</v>
      </c>
      <c r="K6">
        <v>56</v>
      </c>
      <c r="L6">
        <v>44</v>
      </c>
      <c r="M6">
        <v>0</v>
      </c>
      <c r="N6">
        <v>551.52272727272725</v>
      </c>
      <c r="O6">
        <v>0.44</v>
      </c>
      <c r="P6">
        <v>1</v>
      </c>
      <c r="Q6">
        <v>0.61111111111111116</v>
      </c>
      <c r="R6">
        <v>63</v>
      </c>
      <c r="S6">
        <v>37</v>
      </c>
      <c r="T6">
        <v>0</v>
      </c>
      <c r="U6">
        <v>448.75675675675677</v>
      </c>
      <c r="V6">
        <v>0.37</v>
      </c>
      <c r="W6">
        <v>1</v>
      </c>
      <c r="X6">
        <v>0.54014598540145986</v>
      </c>
      <c r="Y6">
        <v>36</v>
      </c>
      <c r="Z6">
        <v>60</v>
      </c>
      <c r="AA6">
        <v>4</v>
      </c>
      <c r="AB6">
        <v>699.66666666666663</v>
      </c>
      <c r="AC6">
        <v>0.625</v>
      </c>
      <c r="AD6">
        <v>0.9375</v>
      </c>
      <c r="AE6">
        <v>0.75</v>
      </c>
      <c r="AF6">
        <v>81</v>
      </c>
      <c r="AG6">
        <v>19</v>
      </c>
      <c r="AH6">
        <v>0</v>
      </c>
      <c r="AI6">
        <v>494.89473684210532</v>
      </c>
      <c r="AJ6">
        <v>0.19</v>
      </c>
      <c r="AK6">
        <v>1</v>
      </c>
      <c r="AL6">
        <v>0.31932773109243701</v>
      </c>
      <c r="AM6">
        <v>0</v>
      </c>
      <c r="AN6">
        <v>13</v>
      </c>
      <c r="AO6">
        <v>87</v>
      </c>
      <c r="AP6">
        <v>1620.384615384615</v>
      </c>
      <c r="AQ6">
        <v>1</v>
      </c>
      <c r="AR6">
        <v>0.13</v>
      </c>
      <c r="AS6">
        <v>0.23008849557522129</v>
      </c>
      <c r="AT6">
        <v>91</v>
      </c>
      <c r="AU6">
        <v>9</v>
      </c>
      <c r="AV6">
        <v>0</v>
      </c>
      <c r="AW6">
        <v>369.77777777777783</v>
      </c>
      <c r="AX6">
        <v>0.09</v>
      </c>
      <c r="AY6">
        <v>1</v>
      </c>
      <c r="AZ6">
        <v>0.16513761467889909</v>
      </c>
      <c r="BA6">
        <v>99</v>
      </c>
      <c r="BB6">
        <v>1</v>
      </c>
      <c r="BC6">
        <v>0</v>
      </c>
      <c r="BD6">
        <v>65</v>
      </c>
      <c r="BE6">
        <v>0.01</v>
      </c>
      <c r="BF6">
        <v>1</v>
      </c>
      <c r="BG6">
        <v>1.9801980198019799E-2</v>
      </c>
    </row>
    <row r="7" spans="1:59" x14ac:dyDescent="0.2">
      <c r="A7" s="4"/>
      <c r="B7" s="3" t="s">
        <v>18</v>
      </c>
      <c r="C7" s="3" t="s">
        <v>17</v>
      </c>
      <c r="D7">
        <v>22</v>
      </c>
      <c r="E7">
        <v>77</v>
      </c>
      <c r="F7">
        <v>1</v>
      </c>
      <c r="G7">
        <v>823.7012987012987</v>
      </c>
      <c r="H7">
        <v>0.77777777777777779</v>
      </c>
      <c r="I7">
        <v>0.98717948717948723</v>
      </c>
      <c r="J7">
        <v>0.87005649717514133</v>
      </c>
      <c r="K7">
        <v>36</v>
      </c>
      <c r="L7">
        <v>64</v>
      </c>
      <c r="M7">
        <v>0</v>
      </c>
      <c r="N7">
        <v>676.453125</v>
      </c>
      <c r="O7">
        <v>0.64</v>
      </c>
      <c r="P7">
        <v>1</v>
      </c>
      <c r="Q7">
        <v>0.7804878048780487</v>
      </c>
      <c r="R7">
        <v>81</v>
      </c>
      <c r="S7">
        <v>19</v>
      </c>
      <c r="T7">
        <v>0</v>
      </c>
      <c r="U7">
        <v>327.5263157894737</v>
      </c>
      <c r="V7">
        <v>0.19</v>
      </c>
      <c r="W7">
        <v>1</v>
      </c>
      <c r="X7">
        <v>0.31932773109243701</v>
      </c>
      <c r="Y7">
        <v>58</v>
      </c>
      <c r="Z7">
        <v>42</v>
      </c>
      <c r="AA7">
        <v>0</v>
      </c>
      <c r="AB7">
        <v>470.40476190476193</v>
      </c>
      <c r="AC7">
        <v>0.42</v>
      </c>
      <c r="AD7">
        <v>1</v>
      </c>
      <c r="AE7">
        <v>0.59154929577464788</v>
      </c>
      <c r="AF7">
        <v>91</v>
      </c>
      <c r="AG7">
        <v>9</v>
      </c>
      <c r="AH7">
        <v>0</v>
      </c>
      <c r="AI7">
        <v>375.44444444444451</v>
      </c>
      <c r="AJ7">
        <v>0.09</v>
      </c>
      <c r="AK7">
        <v>1</v>
      </c>
      <c r="AL7">
        <v>0.16513761467889909</v>
      </c>
      <c r="AM7">
        <v>0</v>
      </c>
      <c r="AN7">
        <v>18</v>
      </c>
      <c r="AO7">
        <v>82</v>
      </c>
      <c r="AP7">
        <v>1247.9444444444439</v>
      </c>
      <c r="AQ7">
        <v>1</v>
      </c>
      <c r="AR7">
        <v>0.18</v>
      </c>
      <c r="AS7">
        <v>0.30508474576271188</v>
      </c>
      <c r="AT7">
        <v>99</v>
      </c>
      <c r="AU7">
        <v>1</v>
      </c>
      <c r="AV7">
        <v>0</v>
      </c>
      <c r="AW7">
        <v>62</v>
      </c>
      <c r="AX7">
        <v>0.01</v>
      </c>
      <c r="AY7">
        <v>1</v>
      </c>
      <c r="AZ7">
        <v>1.9801980198019799E-2</v>
      </c>
      <c r="BA7">
        <v>98</v>
      </c>
      <c r="BB7">
        <v>2</v>
      </c>
      <c r="BC7">
        <v>0</v>
      </c>
      <c r="BD7">
        <v>393.5</v>
      </c>
      <c r="BE7">
        <v>0.02</v>
      </c>
      <c r="BF7">
        <v>1</v>
      </c>
      <c r="BG7">
        <v>3.9215686274509803E-2</v>
      </c>
    </row>
  </sheetData>
  <mergeCells count="10">
    <mergeCell ref="Y1:AE1"/>
    <mergeCell ref="BA1:BG1"/>
    <mergeCell ref="AT1:AZ1"/>
    <mergeCell ref="A4:A5"/>
    <mergeCell ref="A6:A7"/>
    <mergeCell ref="R1:X1"/>
    <mergeCell ref="AM1:AS1"/>
    <mergeCell ref="AF1:AL1"/>
    <mergeCell ref="D1:J1"/>
    <mergeCell ref="K1:Q1"/>
  </mergeCells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9"/>
  <sheetViews>
    <sheetView workbookViewId="0">
      <selection activeCell="H13" sqref="H13"/>
    </sheetView>
  </sheetViews>
  <sheetFormatPr defaultRowHeight="14.25" x14ac:dyDescent="0.2"/>
  <cols>
    <col min="1" max="1" width="18" customWidth="1"/>
  </cols>
  <sheetData>
    <row r="1" spans="1:25" x14ac:dyDescent="0.2">
      <c r="B1" s="7" t="s">
        <v>8</v>
      </c>
      <c r="C1" s="6"/>
      <c r="D1" s="6"/>
      <c r="E1" s="6"/>
      <c r="F1" s="8"/>
      <c r="G1" s="2"/>
      <c r="H1" s="7" t="s">
        <v>9</v>
      </c>
      <c r="I1" s="6"/>
      <c r="J1" s="6"/>
      <c r="K1" s="6"/>
      <c r="L1" s="8"/>
      <c r="M1" s="2"/>
      <c r="N1" s="7" t="s">
        <v>10</v>
      </c>
      <c r="O1" s="6"/>
      <c r="P1" s="6"/>
      <c r="Q1" s="6"/>
      <c r="R1" s="8"/>
      <c r="S1" s="2"/>
      <c r="T1" s="5" t="s">
        <v>14</v>
      </c>
      <c r="U1" s="6"/>
      <c r="V1" s="6"/>
      <c r="W1" s="6"/>
      <c r="X1" s="6"/>
    </row>
    <row r="2" spans="1:25" x14ac:dyDescent="0.2">
      <c r="A2" t="s">
        <v>0</v>
      </c>
      <c r="B2">
        <v>23</v>
      </c>
      <c r="C2">
        <v>20</v>
      </c>
      <c r="D2">
        <v>35</v>
      </c>
      <c r="E2">
        <v>22</v>
      </c>
      <c r="F2" s="1">
        <f t="shared" ref="F2:F9" si="0">AVERAGE(B2:E2)</f>
        <v>25</v>
      </c>
      <c r="G2" s="1">
        <f t="shared" ref="G2:G9" si="1">_xlfn.RANK.EQ(F2,$F$2:$F$9,1)</f>
        <v>2</v>
      </c>
      <c r="H2">
        <v>69</v>
      </c>
      <c r="I2">
        <v>74</v>
      </c>
      <c r="J2">
        <v>65</v>
      </c>
      <c r="K2">
        <v>77</v>
      </c>
      <c r="L2" s="1">
        <f t="shared" ref="L2:L9" si="2">AVERAGE(H2:K2)</f>
        <v>71.25</v>
      </c>
      <c r="M2" s="1">
        <f t="shared" ref="M2:M9" si="3">_xlfn.RANK.EQ(L2,$L$2:$L$9,0)</f>
        <v>1</v>
      </c>
      <c r="N2">
        <v>8</v>
      </c>
      <c r="O2">
        <v>6</v>
      </c>
      <c r="P2">
        <v>0</v>
      </c>
      <c r="Q2">
        <v>1</v>
      </c>
      <c r="R2" s="1">
        <f t="shared" ref="R2:R9" si="4">AVERAGE(N2:Q2)</f>
        <v>3.75</v>
      </c>
      <c r="S2" s="1">
        <f t="shared" ref="S2:S9" si="5">_xlfn.RANK.EQ(R2,$R$2:$R$9,1)</f>
        <v>6</v>
      </c>
      <c r="T2">
        <v>0.81656804733727806</v>
      </c>
      <c r="U2">
        <v>0.85057471264367812</v>
      </c>
      <c r="V2">
        <v>0.78787878787878796</v>
      </c>
      <c r="W2">
        <v>0.87005649717514133</v>
      </c>
      <c r="X2" s="1">
        <f t="shared" ref="X2:X9" si="6">AVERAGE(T2:W2)</f>
        <v>0.83126951125872139</v>
      </c>
      <c r="Y2">
        <f t="shared" ref="Y2:Y9" si="7">_xlfn.RANK.EQ(X2,$X$2:$X$9,0)</f>
        <v>1</v>
      </c>
    </row>
    <row r="3" spans="1:25" x14ac:dyDescent="0.2">
      <c r="A3" t="s">
        <v>1</v>
      </c>
      <c r="B3">
        <v>44</v>
      </c>
      <c r="C3">
        <v>37</v>
      </c>
      <c r="D3">
        <v>56</v>
      </c>
      <c r="E3">
        <v>36</v>
      </c>
      <c r="F3" s="1">
        <f t="shared" si="0"/>
        <v>43.25</v>
      </c>
      <c r="G3" s="1">
        <f t="shared" si="1"/>
        <v>3</v>
      </c>
      <c r="H3">
        <v>55</v>
      </c>
      <c r="I3">
        <v>61</v>
      </c>
      <c r="J3">
        <v>44</v>
      </c>
      <c r="K3">
        <v>64</v>
      </c>
      <c r="L3" s="1">
        <f t="shared" si="2"/>
        <v>56</v>
      </c>
      <c r="M3" s="1">
        <f t="shared" si="3"/>
        <v>2</v>
      </c>
      <c r="N3">
        <v>1</v>
      </c>
      <c r="O3">
        <v>2</v>
      </c>
      <c r="P3">
        <v>0</v>
      </c>
      <c r="Q3">
        <v>0</v>
      </c>
      <c r="R3" s="1">
        <f t="shared" si="4"/>
        <v>0.75</v>
      </c>
      <c r="S3" s="1">
        <f t="shared" si="5"/>
        <v>4</v>
      </c>
      <c r="T3">
        <v>0.70967741935483875</v>
      </c>
      <c r="U3">
        <v>0.7577639751552796</v>
      </c>
      <c r="V3">
        <v>0.61111111111111116</v>
      </c>
      <c r="W3">
        <v>0.7804878048780487</v>
      </c>
      <c r="X3" s="1">
        <f t="shared" si="6"/>
        <v>0.71476007762481952</v>
      </c>
      <c r="Y3">
        <f t="shared" si="7"/>
        <v>2</v>
      </c>
    </row>
    <row r="4" spans="1:25" x14ac:dyDescent="0.2">
      <c r="A4" t="s">
        <v>2</v>
      </c>
      <c r="B4">
        <v>82</v>
      </c>
      <c r="C4">
        <v>95</v>
      </c>
      <c r="D4">
        <v>63</v>
      </c>
      <c r="E4">
        <v>81</v>
      </c>
      <c r="F4" s="1">
        <f t="shared" si="0"/>
        <v>80.25</v>
      </c>
      <c r="G4" s="1">
        <f t="shared" si="1"/>
        <v>5</v>
      </c>
      <c r="H4">
        <v>14</v>
      </c>
      <c r="I4">
        <v>4</v>
      </c>
      <c r="J4">
        <v>37</v>
      </c>
      <c r="K4">
        <v>19</v>
      </c>
      <c r="L4" s="1">
        <f t="shared" si="2"/>
        <v>18.5</v>
      </c>
      <c r="M4" s="1">
        <f t="shared" si="3"/>
        <v>4</v>
      </c>
      <c r="N4">
        <v>4</v>
      </c>
      <c r="O4">
        <v>1</v>
      </c>
      <c r="P4">
        <v>0</v>
      </c>
      <c r="Q4">
        <v>0</v>
      </c>
      <c r="R4" s="1">
        <f t="shared" si="4"/>
        <v>1.25</v>
      </c>
      <c r="S4" s="1">
        <f t="shared" si="5"/>
        <v>5</v>
      </c>
      <c r="T4">
        <v>0.24561403508771931</v>
      </c>
      <c r="U4">
        <v>7.6923076923076927E-2</v>
      </c>
      <c r="V4">
        <v>0.54014598540145986</v>
      </c>
      <c r="W4">
        <v>0.31932773109243701</v>
      </c>
      <c r="X4" s="1">
        <f t="shared" si="6"/>
        <v>0.29550270712617327</v>
      </c>
      <c r="Y4">
        <f t="shared" si="7"/>
        <v>4</v>
      </c>
    </row>
    <row r="5" spans="1:25" x14ac:dyDescent="0.2">
      <c r="A5" t="s">
        <v>3</v>
      </c>
      <c r="B5">
        <v>43</v>
      </c>
      <c r="C5">
        <v>77</v>
      </c>
      <c r="D5">
        <v>36</v>
      </c>
      <c r="E5">
        <v>58</v>
      </c>
      <c r="F5" s="1">
        <f t="shared" si="0"/>
        <v>53.5</v>
      </c>
      <c r="G5" s="1">
        <f t="shared" si="1"/>
        <v>4</v>
      </c>
      <c r="H5">
        <v>37</v>
      </c>
      <c r="I5">
        <v>19</v>
      </c>
      <c r="J5">
        <v>60</v>
      </c>
      <c r="K5">
        <v>42</v>
      </c>
      <c r="L5" s="1">
        <f t="shared" si="2"/>
        <v>39.5</v>
      </c>
      <c r="M5" s="1">
        <f t="shared" si="3"/>
        <v>3</v>
      </c>
      <c r="N5">
        <v>20</v>
      </c>
      <c r="O5">
        <v>4</v>
      </c>
      <c r="P5">
        <v>4</v>
      </c>
      <c r="Q5">
        <v>0</v>
      </c>
      <c r="R5" s="1">
        <f t="shared" si="4"/>
        <v>7</v>
      </c>
      <c r="S5" s="1">
        <f t="shared" si="5"/>
        <v>7</v>
      </c>
      <c r="T5">
        <v>0.54014598540145986</v>
      </c>
      <c r="U5">
        <v>0.31932773109243701</v>
      </c>
      <c r="V5">
        <v>0.75</v>
      </c>
      <c r="W5">
        <v>0.59154929577464788</v>
      </c>
      <c r="X5" s="1">
        <f t="shared" si="6"/>
        <v>0.55025575306713614</v>
      </c>
      <c r="Y5">
        <f t="shared" si="7"/>
        <v>3</v>
      </c>
    </row>
    <row r="6" spans="1:25" x14ac:dyDescent="0.2">
      <c r="A6" t="s">
        <v>4</v>
      </c>
      <c r="B6">
        <v>86</v>
      </c>
      <c r="C6">
        <v>96</v>
      </c>
      <c r="D6">
        <v>81</v>
      </c>
      <c r="E6">
        <v>91</v>
      </c>
      <c r="F6" s="1">
        <f t="shared" si="0"/>
        <v>88.5</v>
      </c>
      <c r="G6" s="1">
        <f t="shared" si="1"/>
        <v>6</v>
      </c>
      <c r="H6">
        <v>13</v>
      </c>
      <c r="I6">
        <v>3</v>
      </c>
      <c r="J6">
        <v>19</v>
      </c>
      <c r="K6">
        <v>9</v>
      </c>
      <c r="L6" s="1">
        <f t="shared" si="2"/>
        <v>11</v>
      </c>
      <c r="M6" s="1">
        <f t="shared" si="3"/>
        <v>5</v>
      </c>
      <c r="N6">
        <v>1</v>
      </c>
      <c r="O6">
        <v>1</v>
      </c>
      <c r="P6">
        <v>0</v>
      </c>
      <c r="Q6">
        <v>0</v>
      </c>
      <c r="R6" s="1">
        <f t="shared" si="4"/>
        <v>0.5</v>
      </c>
      <c r="S6" s="1">
        <f t="shared" si="5"/>
        <v>3</v>
      </c>
      <c r="T6">
        <v>0.23008849557522129</v>
      </c>
      <c r="U6">
        <v>5.8252427184466021E-2</v>
      </c>
      <c r="V6">
        <v>0.31932773109243701</v>
      </c>
      <c r="W6">
        <v>0.16513761467889909</v>
      </c>
      <c r="X6" s="1">
        <f t="shared" si="6"/>
        <v>0.19320156713275585</v>
      </c>
      <c r="Y6">
        <f t="shared" si="7"/>
        <v>5</v>
      </c>
    </row>
    <row r="7" spans="1:25" x14ac:dyDescent="0.2">
      <c r="A7" t="s">
        <v>5</v>
      </c>
      <c r="B7">
        <v>0</v>
      </c>
      <c r="C7">
        <v>0</v>
      </c>
      <c r="D7">
        <v>0</v>
      </c>
      <c r="E7">
        <v>0</v>
      </c>
      <c r="F7" s="1">
        <f t="shared" si="0"/>
        <v>0</v>
      </c>
      <c r="G7" s="1">
        <f t="shared" si="1"/>
        <v>1</v>
      </c>
      <c r="H7">
        <v>3</v>
      </c>
      <c r="I7">
        <v>5</v>
      </c>
      <c r="J7">
        <v>13</v>
      </c>
      <c r="K7">
        <v>18</v>
      </c>
      <c r="L7" s="1">
        <f t="shared" si="2"/>
        <v>9.75</v>
      </c>
      <c r="M7" s="1">
        <f t="shared" si="3"/>
        <v>6</v>
      </c>
      <c r="N7">
        <v>97</v>
      </c>
      <c r="O7">
        <v>95</v>
      </c>
      <c r="P7">
        <v>87</v>
      </c>
      <c r="Q7">
        <v>82</v>
      </c>
      <c r="R7" s="1">
        <f t="shared" si="4"/>
        <v>90.25</v>
      </c>
      <c r="S7" s="1">
        <f t="shared" si="5"/>
        <v>8</v>
      </c>
      <c r="T7">
        <v>5.8252427184466007E-2</v>
      </c>
      <c r="U7">
        <v>9.5238095238095233E-2</v>
      </c>
      <c r="V7">
        <v>0.23008849557522129</v>
      </c>
      <c r="W7">
        <v>0.30508474576271188</v>
      </c>
      <c r="X7" s="1">
        <f t="shared" si="6"/>
        <v>0.17216594094012361</v>
      </c>
      <c r="Y7">
        <f t="shared" si="7"/>
        <v>6</v>
      </c>
    </row>
    <row r="8" spans="1:25" x14ac:dyDescent="0.2">
      <c r="A8" t="s">
        <v>6</v>
      </c>
      <c r="B8">
        <v>99</v>
      </c>
      <c r="C8">
        <v>96</v>
      </c>
      <c r="D8">
        <v>91</v>
      </c>
      <c r="E8">
        <v>99</v>
      </c>
      <c r="F8" s="1">
        <f t="shared" si="0"/>
        <v>96.25</v>
      </c>
      <c r="G8" s="1">
        <f t="shared" si="1"/>
        <v>7</v>
      </c>
      <c r="H8">
        <v>1</v>
      </c>
      <c r="I8">
        <v>3</v>
      </c>
      <c r="J8">
        <v>9</v>
      </c>
      <c r="K8">
        <v>1</v>
      </c>
      <c r="L8" s="1">
        <f t="shared" si="2"/>
        <v>3.5</v>
      </c>
      <c r="M8" s="1">
        <f t="shared" si="3"/>
        <v>7</v>
      </c>
      <c r="N8">
        <v>0</v>
      </c>
      <c r="O8">
        <v>1</v>
      </c>
      <c r="P8">
        <v>0</v>
      </c>
      <c r="Q8">
        <v>0</v>
      </c>
      <c r="R8" s="1">
        <f t="shared" si="4"/>
        <v>0.25</v>
      </c>
      <c r="S8" s="1">
        <f t="shared" si="5"/>
        <v>2</v>
      </c>
      <c r="T8">
        <v>1.9801980198019799E-2</v>
      </c>
      <c r="U8">
        <v>5.8252427184466021E-2</v>
      </c>
      <c r="V8">
        <v>0.16513761467889909</v>
      </c>
      <c r="W8">
        <v>1.9801980198019799E-2</v>
      </c>
      <c r="X8" s="1">
        <f t="shared" si="6"/>
        <v>6.5748500564851181E-2</v>
      </c>
      <c r="Y8">
        <f t="shared" si="7"/>
        <v>7</v>
      </c>
    </row>
    <row r="9" spans="1:25" x14ac:dyDescent="0.2">
      <c r="A9" t="s">
        <v>7</v>
      </c>
      <c r="B9">
        <v>99</v>
      </c>
      <c r="C9">
        <v>98</v>
      </c>
      <c r="D9">
        <v>99</v>
      </c>
      <c r="E9">
        <v>98</v>
      </c>
      <c r="F9" s="1">
        <f t="shared" si="0"/>
        <v>98.5</v>
      </c>
      <c r="G9" s="1">
        <f t="shared" si="1"/>
        <v>8</v>
      </c>
      <c r="H9">
        <v>1</v>
      </c>
      <c r="I9">
        <v>2</v>
      </c>
      <c r="J9">
        <v>1</v>
      </c>
      <c r="K9">
        <v>2</v>
      </c>
      <c r="L9" s="1">
        <f t="shared" si="2"/>
        <v>1.5</v>
      </c>
      <c r="M9" s="1">
        <f t="shared" si="3"/>
        <v>8</v>
      </c>
      <c r="N9">
        <v>0</v>
      </c>
      <c r="O9">
        <v>0</v>
      </c>
      <c r="P9">
        <v>0</v>
      </c>
      <c r="Q9">
        <v>0</v>
      </c>
      <c r="R9" s="1">
        <f t="shared" si="4"/>
        <v>0</v>
      </c>
      <c r="S9" s="1">
        <f t="shared" si="5"/>
        <v>1</v>
      </c>
      <c r="T9">
        <v>1.9801980198019799E-2</v>
      </c>
      <c r="U9">
        <v>3.9215686274509803E-2</v>
      </c>
      <c r="V9">
        <v>1.9801980198019799E-2</v>
      </c>
      <c r="W9">
        <v>3.9215686274509803E-2</v>
      </c>
      <c r="X9" s="1">
        <f t="shared" si="6"/>
        <v>2.9508833236264801E-2</v>
      </c>
      <c r="Y9">
        <f t="shared" si="7"/>
        <v>8</v>
      </c>
    </row>
    <row r="10" spans="1:25" x14ac:dyDescent="0.2">
      <c r="F10" s="1"/>
      <c r="G10" s="1"/>
    </row>
    <row r="11" spans="1:25" x14ac:dyDescent="0.2">
      <c r="F11" s="1"/>
      <c r="G11" s="1"/>
    </row>
    <row r="12" spans="1:25" x14ac:dyDescent="0.2">
      <c r="A12" t="s">
        <v>0</v>
      </c>
      <c r="B12">
        <f t="shared" ref="B12:B19" si="8">(G2+M2+S2+Y2)/4</f>
        <v>2.5</v>
      </c>
      <c r="F12" s="1"/>
      <c r="G12" s="1"/>
    </row>
    <row r="13" spans="1:25" x14ac:dyDescent="0.2">
      <c r="A13" t="s">
        <v>1</v>
      </c>
      <c r="B13">
        <f t="shared" si="8"/>
        <v>2.75</v>
      </c>
    </row>
    <row r="14" spans="1:25" x14ac:dyDescent="0.2">
      <c r="A14" t="s">
        <v>2</v>
      </c>
      <c r="B14">
        <f t="shared" si="8"/>
        <v>4.5</v>
      </c>
    </row>
    <row r="15" spans="1:25" x14ac:dyDescent="0.2">
      <c r="A15" t="s">
        <v>3</v>
      </c>
      <c r="B15">
        <f t="shared" si="8"/>
        <v>4.25</v>
      </c>
    </row>
    <row r="16" spans="1:25" x14ac:dyDescent="0.2">
      <c r="A16" t="s">
        <v>4</v>
      </c>
      <c r="B16">
        <f t="shared" si="8"/>
        <v>4.75</v>
      </c>
    </row>
    <row r="17" spans="1:2" x14ac:dyDescent="0.2">
      <c r="A17" t="s">
        <v>5</v>
      </c>
      <c r="B17">
        <f t="shared" si="8"/>
        <v>5.25</v>
      </c>
    </row>
    <row r="18" spans="1:2" x14ac:dyDescent="0.2">
      <c r="A18" t="s">
        <v>6</v>
      </c>
      <c r="B18">
        <f t="shared" si="8"/>
        <v>5.75</v>
      </c>
    </row>
    <row r="19" spans="1:2" x14ac:dyDescent="0.2">
      <c r="A19" t="s">
        <v>7</v>
      </c>
      <c r="B19">
        <f t="shared" si="8"/>
        <v>6.25</v>
      </c>
    </row>
  </sheetData>
  <mergeCells count="4">
    <mergeCell ref="T1:X1"/>
    <mergeCell ref="H1:L1"/>
    <mergeCell ref="B1:F1"/>
    <mergeCell ref="N1:R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noise</vt:lpstr>
      <vt:lpstr>save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CX ZH</cp:lastModifiedBy>
  <dcterms:created xsi:type="dcterms:W3CDTF">2015-06-05T18:19:34Z</dcterms:created>
  <dcterms:modified xsi:type="dcterms:W3CDTF">2025-11-03T02:03:24Z</dcterms:modified>
</cp:coreProperties>
</file>